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Flow Global 2026" sheetId="1" r:id="rId5"/>
    <sheet state="visible" name="Septiembre - Octubre" sheetId="2" r:id="rId6"/>
  </sheets>
  <definedNames/>
  <calcPr/>
</workbook>
</file>

<file path=xl/sharedStrings.xml><?xml version="1.0" encoding="utf-8"?>
<sst xmlns="http://schemas.openxmlformats.org/spreadsheetml/2006/main" count="112" uniqueCount="64">
  <si>
    <t>SEPTIEMBRE - OCTUBRE</t>
  </si>
  <si>
    <t>Campaña</t>
  </si>
  <si>
    <t>Ppto total</t>
  </si>
  <si>
    <t>ETAPA</t>
  </si>
  <si>
    <t>Medio</t>
  </si>
  <si>
    <t>CAMPAÑA</t>
  </si>
  <si>
    <t>OBJETIVO</t>
  </si>
  <si>
    <t>Grado</t>
  </si>
  <si>
    <t>Audiencia</t>
  </si>
  <si>
    <t>Ppto Medio</t>
  </si>
  <si>
    <t>Share</t>
  </si>
  <si>
    <t>Compra</t>
  </si>
  <si>
    <t>Coste</t>
  </si>
  <si>
    <t>Coversiones</t>
  </si>
  <si>
    <t>Fecha de inicio</t>
  </si>
  <si>
    <t>Fecha de finalización</t>
  </si>
  <si>
    <t>La Salle Pereira Bilingual School</t>
  </si>
  <si>
    <t>CONVERTION</t>
  </si>
  <si>
    <t>META</t>
  </si>
  <si>
    <t>CAMPAÑA GENERAL INSTITUCIONAL</t>
  </si>
  <si>
    <t>LEAD WEB</t>
  </si>
  <si>
    <t>secundaria</t>
  </si>
  <si>
    <t>INTERESES INMARKET - DEMOGRAFICO</t>
  </si>
  <si>
    <t>LEAD</t>
  </si>
  <si>
    <t>primaria-secundaria</t>
  </si>
  <si>
    <t xml:space="preserve">INTERESES </t>
  </si>
  <si>
    <t>CPL</t>
  </si>
  <si>
    <t>primaria</t>
  </si>
  <si>
    <t>La Salle</t>
  </si>
  <si>
    <t>CAMPAÑA GENERAL INSTITUCIONAL RMKT</t>
  </si>
  <si>
    <t>Todos</t>
  </si>
  <si>
    <t>BBDD REMARKETING</t>
  </si>
  <si>
    <t>rmkt BBDD</t>
  </si>
  <si>
    <t>BBDDT - DEMOGRAFICO</t>
  </si>
  <si>
    <t>CAMPAÑA FORM META</t>
  </si>
  <si>
    <t>LEAD META</t>
  </si>
  <si>
    <t>Jardín + Transición</t>
  </si>
  <si>
    <t>Pereira School</t>
  </si>
  <si>
    <t>FORM META</t>
  </si>
  <si>
    <t>INMARKET - DEMOGRAFICO</t>
  </si>
  <si>
    <t>eventos</t>
  </si>
  <si>
    <t>ABERTO</t>
  </si>
  <si>
    <t>GOOGLE ADS</t>
  </si>
  <si>
    <t>KWS  BRAND/CATEGORY</t>
  </si>
  <si>
    <t>Total sin iva</t>
  </si>
  <si>
    <t>Connversiones</t>
  </si>
  <si>
    <t>Total con iva</t>
  </si>
  <si>
    <t>General por mes</t>
  </si>
  <si>
    <t>Mes</t>
  </si>
  <si>
    <t>Presupuesto</t>
  </si>
  <si>
    <t>Share por mes</t>
  </si>
  <si>
    <t>Medios</t>
  </si>
  <si>
    <t>Comentarios</t>
  </si>
  <si>
    <t>Ptto</t>
  </si>
  <si>
    <t>abril</t>
  </si>
  <si>
    <t>META / GOOGLE ADS</t>
  </si>
  <si>
    <t>Gasto</t>
  </si>
  <si>
    <t>mayo</t>
  </si>
  <si>
    <t>junio</t>
  </si>
  <si>
    <t>julio</t>
  </si>
  <si>
    <t>agosto</t>
  </si>
  <si>
    <t>septiembre</t>
  </si>
  <si>
    <t>octubre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</si>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</sst>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]#,##0"/>
    <numFmt numFmtId="165" formatCode="0.0%"/>
    <numFmt numFmtId="166" formatCode="[$ $]#,##0"/>
    <numFmt numFmtId="167" formatCode="d/MM/yyyy"/>
  </numFmts>
  <fonts count="14">
    <font>
      <sz val="10.0"/>
      <color rgb="FF000000"/>
      <name val="Arial"/>
      <scheme val="minor"/>
    </font>
    <font>
      <color theme="1"/>
      <name val="Poppins"/>
    </font>
    <font>
      <color theme="1"/>
      <name val="Arial"/>
    </font>
    <font>
      <sz val="15.0"/>
      <color theme="1"/>
      <name val="Arial Black"/>
    </font>
    <font>
      <b/>
      <sz val="11.0"/>
      <color rgb="FFFFFFFF"/>
      <name val="Poppins"/>
    </font>
    <font>
      <b/>
      <sz val="13.0"/>
      <color theme="1"/>
      <name val="Arial"/>
    </font>
    <font>
      <b/>
      <color rgb="FF000000"/>
      <name val="Poppins"/>
    </font>
    <font>
      <b/>
      <sz val="12.0"/>
      <color theme="1"/>
      <name val="Poppins"/>
    </font>
    <font>
      <b/>
      <color theme="1"/>
      <name val="Poppins"/>
    </font>
    <font/>
    <font>
      <b/>
      <color rgb="FFFFFFFF"/>
      <name val="Poppins"/>
    </font>
    <font>
      <sz val="24.0"/>
      <color rgb="FFFFFFFF"/>
      <name val="Poppins"/>
    </font>
    <font>
      <color rgb="FFFFFFFF"/>
      <name val="Poppins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5346C"/>
        <bgColor rgb="FF25346C"/>
      </patternFill>
    </fill>
    <fill>
      <patternFill patternType="solid">
        <fgColor rgb="FFFBBC04"/>
        <bgColor rgb="FFFBBC04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2" fillId="2" fontId="4" numFmtId="164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2" fillId="2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3" xfId="0" applyAlignment="1" applyFont="1" applyNumberFormat="1">
      <alignment horizontal="center" readingOrder="0" vertical="center"/>
    </xf>
    <xf borderId="2" fillId="2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2" fontId="4" numFmtId="3" xfId="0" applyAlignment="1" applyBorder="1" applyFill="1" applyFont="1" applyNumberFormat="1">
      <alignment horizontal="center" vertical="center"/>
    </xf>
    <xf borderId="1" fillId="3" fontId="5" numFmtId="0" xfId="0" applyAlignment="1" applyBorder="1" applyFill="1" applyFont="1">
      <alignment horizontal="center" readingOrder="0" shrinkToFit="0" vertical="center" wrapText="1"/>
    </xf>
    <xf borderId="2" fillId="2" fontId="4" numFmtId="0" xfId="0" applyAlignment="1" applyBorder="1" applyFill="1" applyFont="1">
      <alignment horizontal="center" readingOrder="0" vertical="center"/>
    </xf>
    <xf borderId="2" fillId="2" fontId="4" numFmtId="0" xfId="0" applyAlignment="1" applyBorder="1" applyFill="1" applyFont="1">
      <alignment horizontal="center" readingOrder="0" shrinkToFit="0" vertical="center" wrapText="1"/>
    </xf>
    <xf borderId="2" fillId="2" fontId="4" numFmtId="3" xfId="0" applyAlignment="1" applyBorder="1" applyFill="1" applyFont="1" applyNumberForma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center"/>
    </xf>
    <xf borderId="3" fillId="4" fontId="7" numFmtId="164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8" numFmtId="0" xfId="0" applyAlignment="1" applyBorder="1" applyFill="1" applyFont="1">
      <alignment horizontal="center" vertical="center"/>
    </xf>
    <xf borderId="1" fillId="4" fontId="8" numFmtId="0" xfId="0" applyAlignment="1" applyBorder="1" applyFill="1" applyFont="1">
      <alignment horizontal="center" readingOrder="0" vertical="center"/>
    </xf>
    <xf borderId="2" fillId="4" fontId="8" numFmtId="0" xfId="0" applyAlignment="1" applyBorder="1" applyFill="1" applyFont="1">
      <alignment horizontal="center" readingOrder="0" vertical="center"/>
    </xf>
    <xf borderId="2" fillId="4" fontId="1" numFmtId="0" xfId="0" applyAlignment="1" applyBorder="1" applyFill="1" applyFont="1">
      <alignment horizontal="center" vertical="center"/>
    </xf>
    <xf borderId="3" fillId="4" fontId="7" numFmtId="164" xfId="0" applyAlignment="1" applyBorder="1" applyFill="1" applyFont="1" applyNumberFormat="1">
      <alignment horizontal="center" readingOrder="0" vertical="center"/>
    </xf>
    <xf borderId="1" fillId="4" fontId="8" numFmtId="164" xfId="0" applyAlignment="1" applyBorder="1" applyFill="1" applyFont="1" applyNumberFormat="1">
      <alignment horizontal="center" readingOrder="0" vertical="center"/>
    </xf>
    <xf borderId="2" fillId="4" fontId="6" numFmtId="0" xfId="0" applyAlignment="1" applyBorder="1" applyFill="1" applyFont="1">
      <alignment horizontal="center" readingOrder="0" vertical="center"/>
    </xf>
    <xf borderId="1" fillId="4" fontId="8" numFmtId="165" xfId="0" applyAlignment="1" applyBorder="1" applyFill="1" applyFont="1" applyNumberFormat="1">
      <alignment horizontal="center" vertical="center"/>
    </xf>
    <xf borderId="1" fillId="4" fontId="1" numFmtId="49" xfId="0" applyAlignment="1" applyBorder="1" applyFill="1" applyFont="1" applyNumberFormat="1">
      <alignment horizontal="center" vertical="center"/>
    </xf>
    <xf borderId="1" fillId="4" fontId="1" numFmtId="166" xfId="0" applyAlignment="1" applyBorder="1" applyFill="1" applyFont="1" applyNumberFormat="1">
      <alignment horizontal="center" readingOrder="0" vertical="center"/>
    </xf>
    <xf borderId="2" fillId="4" fontId="8" numFmtId="164" xfId="0" applyAlignment="1" applyBorder="1" applyFill="1" applyFont="1" applyNumberFormat="1">
      <alignment horizontal="center" vertical="center"/>
    </xf>
    <xf borderId="2" fillId="4" fontId="8" numFmtId="165" xfId="0" applyAlignment="1" applyBorder="1" applyFill="1" applyFont="1" applyNumberFormat="1">
      <alignment horizontal="center" readingOrder="0" vertical="center"/>
    </xf>
    <xf borderId="1" fillId="4" fontId="1" numFmtId="3" xfId="0" applyAlignment="1" applyBorder="1" applyFill="1" applyFont="1" applyNumberFormat="1">
      <alignment horizontal="center" vertical="center"/>
    </xf>
    <xf borderId="2" fillId="4" fontId="1" numFmtId="49" xfId="0" applyAlignment="1" applyBorder="1" applyFill="1" applyFont="1" applyNumberFormat="1">
      <alignment horizontal="center" readingOrder="0" vertical="center"/>
    </xf>
    <xf borderId="2" fillId="4" fontId="1" numFmtId="167" xfId="0" applyAlignment="1" applyBorder="1" applyFill="1" applyFont="1" applyNumberFormat="1">
      <alignment horizontal="center" readingOrder="0" vertical="center"/>
    </xf>
    <xf borderId="2" fillId="4" fontId="1" numFmtId="166" xfId="0" applyAlignment="1" applyBorder="1" applyFill="1" applyFont="1" applyNumberFormat="1">
      <alignment horizontal="center" readingOrder="0" vertical="center"/>
    </xf>
    <xf borderId="4" fillId="0" fontId="9" numFmtId="0" xfId="0" applyBorder="1" applyFont="1"/>
    <xf borderId="5" fillId="0" fontId="9" numFmtId="0" xfId="0" applyBorder="1" applyFont="1"/>
    <xf borderId="2" fillId="4" fontId="1" numFmtId="3" xfId="0" applyAlignment="1" applyBorder="1" applyFill="1" applyFont="1" applyNumberFormat="1">
      <alignment horizontal="center" vertical="center"/>
    </xf>
    <xf borderId="4" fillId="3" fontId="6" numFmtId="0" xfId="0" applyAlignment="1" applyBorder="1" applyFill="1" applyFont="1">
      <alignment horizontal="center" readingOrder="0" vertical="center"/>
    </xf>
    <xf borderId="6" fillId="0" fontId="9" numFmtId="0" xfId="0" applyBorder="1" applyFont="1"/>
    <xf borderId="2" fillId="4" fontId="1" numFmtId="0" xfId="0" applyAlignment="1" applyBorder="1" applyFill="1" applyFont="1">
      <alignment horizontal="center" readingOrder="0" vertical="center"/>
    </xf>
    <xf borderId="2" fillId="4" fontId="8" numFmtId="9" xfId="0" applyAlignment="1" applyBorder="1" applyFill="1" applyFont="1" applyNumberFormat="1">
      <alignment horizontal="center" readingOrder="0" vertical="center"/>
    </xf>
    <xf borderId="2" fillId="4" fontId="8" numFmtId="0" xfId="0" applyAlignment="1" applyBorder="1" applyFill="1" applyFont="1">
      <alignment horizontal="center" vertical="center"/>
    </xf>
    <xf borderId="2" fillId="4" fontId="8" numFmtId="164" xfId="0" applyAlignment="1" applyBorder="1" applyFill="1" applyFont="1" applyNumberFormat="1">
      <alignment horizontal="center" readingOrder="0" vertical="center"/>
    </xf>
    <xf borderId="2" fillId="4" fontId="8" numFmtId="165" xfId="0" applyAlignment="1" applyBorder="1" applyFill="1" applyFont="1" applyNumberFormat="1">
      <alignment horizontal="center" vertical="center"/>
    </xf>
    <xf borderId="2" fillId="4" fontId="1" numFmtId="49" xfId="0" applyAlignment="1" applyBorder="1" applyFill="1" applyFont="1" applyNumberFormat="1">
      <alignment horizontal="center" vertical="center"/>
    </xf>
    <xf borderId="7" fillId="0" fontId="9" numFmtId="0" xfId="0" applyBorder="1" applyFont="1"/>
    <xf borderId="6" fillId="2" fontId="10" numFmtId="0" xfId="0" applyAlignment="1" applyBorder="1" applyFill="1" applyFont="1">
      <alignment readingOrder="0" vertical="center"/>
    </xf>
    <xf borderId="2" fillId="4" fontId="1" numFmtId="166" xfId="0" applyAlignment="1" applyBorder="1" applyFill="1" applyFont="1" applyNumberFormat="1">
      <alignment horizontal="center" vertical="center"/>
    </xf>
    <xf borderId="2" fillId="4" fontId="1" numFmtId="166" xfId="0" applyAlignment="1" applyBorder="1" applyFill="1" applyFont="1" applyNumberFormat="1">
      <alignment horizontal="right" vertical="center"/>
    </xf>
    <xf borderId="2" fillId="2" fontId="10" numFmtId="0" xfId="0" applyAlignment="1" applyBorder="1" applyFill="1" applyFont="1">
      <alignment readingOrder="0" vertical="center"/>
    </xf>
    <xf borderId="6" fillId="2" fontId="10" numFmtId="0" xfId="0" applyAlignment="1" applyBorder="1" applyFill="1" applyFont="1">
      <alignment vertical="center"/>
    </xf>
    <xf borderId="2" fillId="4" fontId="1" numFmtId="3" xfId="0" applyAlignment="1" applyBorder="1" applyFill="1" applyFont="1" applyNumberFormat="1">
      <alignment horizontal="right" vertical="center"/>
    </xf>
    <xf borderId="2" fillId="2" fontId="10" numFmtId="0" xfId="0" applyAlignment="1" applyBorder="1" applyFill="1" applyFont="1">
      <alignment vertical="center"/>
    </xf>
    <xf borderId="2" fillId="3" fontId="10" numFmtId="0" xfId="0" applyAlignment="1" applyBorder="1" applyFill="1" applyFont="1">
      <alignment readingOrder="0" vertical="center"/>
    </xf>
    <xf borderId="2" fillId="3" fontId="10" numFmtId="166" xfId="0" applyAlignment="1" applyBorder="1" applyFill="1" applyFont="1" applyNumberFormat="1">
      <alignment horizontal="right" vertical="center"/>
    </xf>
    <xf borderId="2" fillId="3" fontId="2" numFmtId="0" xfId="0" applyAlignment="1" applyBorder="1" applyFill="1" applyFont="1">
      <alignment vertical="center"/>
    </xf>
    <xf borderId="2" fillId="3" fontId="2" numFmtId="166" xfId="0" applyAlignment="1" applyBorder="1" applyFill="1" applyFont="1" applyNumberFormat="1">
      <alignment vertical="center"/>
    </xf>
    <xf borderId="8" fillId="2" fontId="11" numFmtId="0" xfId="0" applyAlignment="1" applyBorder="1" applyFill="1" applyFont="1">
      <alignment horizontal="center" readingOrder="0"/>
    </xf>
    <xf borderId="9" fillId="0" fontId="9" numFmtId="0" xfId="0" applyBorder="1" applyFont="1"/>
    <xf borderId="0" fillId="0" fontId="11" numFmtId="0" xfId="0" applyAlignment="1" applyFont="1">
      <alignment horizontal="center" readingOrder="0"/>
    </xf>
    <xf borderId="10" fillId="0" fontId="9" numFmtId="0" xfId="0" applyBorder="1" applyFont="1"/>
    <xf borderId="11" fillId="0" fontId="9" numFmtId="0" xfId="0" applyBorder="1" applyFont="1"/>
    <xf borderId="2" fillId="3" fontId="8" numFmtId="0" xfId="0" applyAlignment="1" applyBorder="1" applyFill="1" applyFont="1">
      <alignment readingOrder="0"/>
    </xf>
    <xf borderId="0" fillId="0" fontId="12" numFmtId="0" xfId="0" applyFont="1"/>
    <xf borderId="2" fillId="5" fontId="8" numFmtId="0" xfId="0" applyAlignment="1" applyBorder="1" applyFill="1" applyFont="1">
      <alignment readingOrder="0"/>
    </xf>
    <xf borderId="2" fillId="5" fontId="1" numFmtId="0" xfId="0" applyAlignment="1" applyBorder="1" applyFill="1" applyFont="1">
      <alignment horizontal="center" vertical="center"/>
    </xf>
    <xf borderId="2" fillId="5" fontId="1" numFmtId="10" xfId="0" applyAlignment="1" applyBorder="1" applyFill="1" applyFont="1" applyNumberFormat="1">
      <alignment horizontal="center" readingOrder="0" vertical="center"/>
    </xf>
    <xf borderId="2" fillId="5" fontId="1" numFmtId="0" xfId="0" applyAlignment="1" applyBorder="1" applyFill="1" applyFont="1">
      <alignment horizontal="center" readingOrder="0" vertical="center"/>
    </xf>
    <xf borderId="2" fillId="5" fontId="12" numFmtId="0" xfId="0" applyAlignment="1" applyBorder="1" applyFill="1" applyFont="1">
      <alignment horizontal="center" readingOrder="0" vertical="center"/>
    </xf>
    <xf borderId="0" fillId="0" fontId="10" numFmtId="0" xfId="0" applyAlignment="1" applyFont="1">
      <alignment readingOrder="0"/>
    </xf>
    <xf borderId="0" fillId="0" fontId="2" numFmtId="10" xfId="0" applyAlignment="1" applyFont="1" applyNumberFormat="1">
      <alignment readingOrder="0" vertical="center"/>
    </xf>
    <xf borderId="0" fillId="0" fontId="12" numFmtId="166" xfId="0" applyAlignment="1" applyFont="1" applyNumberFormat="1">
      <alignment readingOrder="0"/>
    </xf>
    <xf borderId="0" fillId="0" fontId="2" numFmtId="10" xfId="0" applyAlignment="1" applyFont="1" applyNumberFormat="1">
      <alignment vertical="center"/>
    </xf>
    <xf borderId="2" fillId="5" fontId="1" numFmtId="166" xfId="0" applyAlignment="1" applyBorder="1" applyFill="1" applyFont="1" applyNumberFormat="1">
      <alignment horizontal="center" readingOrder="0" vertical="center"/>
    </xf>
    <xf borderId="0" fillId="0" fontId="1" numFmtId="166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12" numFmtId="166" xfId="0" applyFont="1" applyNumberFormat="1"/>
    <xf borderId="2" fillId="5" fontId="1" numFmtId="0" xfId="0" applyAlignment="1" applyBorder="1" applyFill="1" applyFont="1">
      <alignment horizontal="center" readingOrder="0" shrinkToFit="0" vertical="center" wrapText="1"/>
    </xf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2" fillId="0" fontId="8" numFmtId="0" xfId="0" applyAlignment="1" applyBorder="1" applyFont="1">
      <alignment readingOrder="0" vertical="center"/>
    </xf>
    <xf borderId="2" fillId="0" fontId="1" numFmtId="166" xfId="0" applyAlignment="1" applyBorder="1" applyFont="1" applyNumberFormat="1">
      <alignment horizontal="center" readingOrder="0" vertical="center"/>
    </xf>
    <xf borderId="2" fillId="0" fontId="8" numFmtId="0" xfId="0" applyAlignment="1" applyBorder="1" applyFont="1">
      <alignment readingOrder="0"/>
    </xf>
    <xf borderId="2" fillId="6" fontId="8" numFmtId="0" xfId="0" applyAlignment="1" applyBorder="1" applyFill="1" applyFont="1">
      <alignment readingOrder="0"/>
    </xf>
    <xf borderId="2" fillId="6" fontId="1" numFmtId="166" xfId="0" applyAlignment="1" applyBorder="1" applyFill="1" applyFont="1" applyNumberFormat="1">
      <alignment horizontal="center" readingOrder="0" vertical="center"/>
    </xf>
    <xf borderId="0" fillId="3" fontId="8" numFmtId="0" xfId="0" applyAlignment="1" applyFill="1" applyFont="1">
      <alignment horizontal="right" readingOrder="0"/>
    </xf>
    <xf borderId="0" fillId="3" fontId="8" numFmtId="166" xfId="0" applyAlignment="1" applyFill="1" applyFont="1" applyNumberFormat="1">
      <alignment horizontal="center"/>
    </xf>
    <xf borderId="0" fillId="3" fontId="1" numFmtId="0" xfId="0" applyFill="1" applyFont="1"/>
    <xf borderId="0" fillId="0" fontId="1" numFmtId="166" xfId="0" applyFont="1" applyNumberFormat="1"/>
    <xf borderId="0" fillId="0" fontId="1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19050</xdr:rowOff>
    </xdr:from>
    <xdr:ext cx="2771775" cy="1352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876300</xdr:colOff>
      <xdr:row>0</xdr:row>
      <xdr:rowOff>0</xdr:rowOff>
    </xdr:from>
    <xdr:ext cx="2771775" cy="1352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0"/>
    <col customWidth="1" min="3" max="3" width="16.25"/>
    <col customWidth="1" min="4" max="4" width="14.88"/>
    <col customWidth="1" min="5" max="5" width="18.38"/>
    <col customWidth="1" min="6" max="6" width="30.63"/>
    <col customWidth="1" min="7" max="7" width="15.0"/>
    <col customWidth="1" min="8" max="8" width="21.63"/>
    <col customWidth="1" min="9" max="9" width="34.63"/>
    <col customWidth="1" hidden="1" min="10" max="10" width="11.5"/>
    <col customWidth="1" hidden="1" min="11" max="11" width="12.75"/>
    <col customWidth="1" hidden="1" min="12" max="12" width="10.63"/>
    <col hidden="1" min="13" max="13" width="12.63"/>
    <col customWidth="1" hidden="1" min="14" max="14" width="12.75"/>
    <col customWidth="1" min="15" max="15" width="12.0"/>
  </cols>
  <sheetData>
    <row r="1">
      <c r="A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4"/>
      <c r="B9" s="5"/>
      <c r="C9" s="7"/>
      <c r="D9" s="7"/>
      <c r="E9" s="9"/>
      <c r="F9" s="9"/>
      <c r="G9" s="9"/>
      <c r="H9" s="9"/>
      <c r="I9" s="9"/>
      <c r="J9" s="5"/>
      <c r="K9" s="9"/>
      <c r="L9" s="11"/>
      <c r="M9" s="11"/>
      <c r="N9" s="12"/>
      <c r="O9" s="14"/>
      <c r="P9" s="14"/>
      <c r="Q9" s="4"/>
      <c r="R9" s="4"/>
      <c r="S9" s="4"/>
      <c r="T9" s="4"/>
      <c r="U9" s="4"/>
      <c r="V9" s="4"/>
      <c r="W9" s="4"/>
    </row>
    <row r="10">
      <c r="A10" s="4"/>
      <c r="B10" s="6" t="s">
        <v>1</v>
      </c>
      <c r="C10" s="8" t="s">
        <v>2</v>
      </c>
      <c r="D10" s="8" t="s">
        <v>3</v>
      </c>
      <c r="E10" s="17" t="s">
        <v>4</v>
      </c>
      <c r="F10" s="17" t="s">
        <v>5</v>
      </c>
      <c r="G10" s="17" t="s">
        <v>6</v>
      </c>
      <c r="H10" s="17" t="s">
        <v>7</v>
      </c>
      <c r="I10" s="17" t="s">
        <v>8</v>
      </c>
      <c r="J10" s="10" t="s">
        <v>9</v>
      </c>
      <c r="K10" s="17" t="s">
        <v>10</v>
      </c>
      <c r="L10" s="18" t="s">
        <v>11</v>
      </c>
      <c r="M10" s="18" t="s">
        <v>12</v>
      </c>
      <c r="N10" s="19" t="s">
        <v>13</v>
      </c>
      <c r="O10" s="13" t="s">
        <v>14</v>
      </c>
      <c r="P10" s="13" t="s">
        <v>15</v>
      </c>
      <c r="Q10" s="4"/>
      <c r="R10" s="4"/>
      <c r="S10" s="4"/>
      <c r="T10" s="4"/>
      <c r="U10" s="4"/>
      <c r="V10" s="4"/>
      <c r="W10" s="4"/>
    </row>
    <row r="11">
      <c r="A11" s="4"/>
      <c r="B11" s="20"/>
      <c r="C11" s="27">
        <f>C33</f>
        <v>40420000</v>
      </c>
      <c r="D11" s="24" t="s">
        <v>17</v>
      </c>
      <c r="E11" s="24" t="s">
        <v>18</v>
      </c>
      <c r="F11" s="25" t="s">
        <v>19</v>
      </c>
      <c r="G11" s="25" t="s">
        <v>23</v>
      </c>
      <c r="H11" s="25" t="s">
        <v>24</v>
      </c>
      <c r="I11" s="29" t="s">
        <v>25</v>
      </c>
      <c r="J11" s="33">
        <f t="shared" ref="J11:J15" si="1">C$11*K11</f>
        <v>6669300</v>
      </c>
      <c r="K11" s="34">
        <v>0.165</v>
      </c>
      <c r="L11" s="36" t="s">
        <v>26</v>
      </c>
      <c r="M11" s="38">
        <v>12000.0</v>
      </c>
      <c r="N11" s="41">
        <f t="shared" ref="N11:N15" si="2">J11/M11</f>
        <v>555.775</v>
      </c>
      <c r="O11" s="37">
        <v>46082.0</v>
      </c>
      <c r="P11" s="37">
        <v>46326.0</v>
      </c>
      <c r="Q11" s="4"/>
      <c r="R11" s="4"/>
      <c r="S11" s="4"/>
      <c r="T11" s="4"/>
      <c r="U11" s="4"/>
      <c r="V11" s="4"/>
      <c r="W11" s="4"/>
    </row>
    <row r="12">
      <c r="A12" s="4"/>
      <c r="B12" s="42" t="s">
        <v>28</v>
      </c>
      <c r="C12" s="40"/>
      <c r="D12" s="39"/>
      <c r="E12" s="39"/>
      <c r="F12" s="25" t="s">
        <v>29</v>
      </c>
      <c r="G12" s="25" t="s">
        <v>23</v>
      </c>
      <c r="H12" s="25" t="s">
        <v>30</v>
      </c>
      <c r="I12" s="29" t="s">
        <v>31</v>
      </c>
      <c r="J12" s="33">
        <f t="shared" si="1"/>
        <v>3233600</v>
      </c>
      <c r="K12" s="45">
        <v>0.08</v>
      </c>
      <c r="L12" s="36" t="s">
        <v>26</v>
      </c>
      <c r="M12" s="38">
        <v>15000.0</v>
      </c>
      <c r="N12" s="41">
        <f t="shared" si="2"/>
        <v>215.5733333</v>
      </c>
      <c r="O12" s="37">
        <v>46082.0</v>
      </c>
      <c r="P12" s="37">
        <v>46326.0</v>
      </c>
      <c r="Q12" s="4"/>
      <c r="R12" s="4"/>
      <c r="S12" s="4"/>
      <c r="T12" s="4"/>
      <c r="U12" s="4"/>
      <c r="V12" s="4"/>
      <c r="W12" s="4"/>
    </row>
    <row r="13">
      <c r="A13" s="4"/>
      <c r="B13" s="42" t="s">
        <v>37</v>
      </c>
      <c r="C13" s="40"/>
      <c r="D13" s="39"/>
      <c r="E13" s="39"/>
      <c r="F13" s="25" t="s">
        <v>38</v>
      </c>
      <c r="G13" s="25" t="s">
        <v>23</v>
      </c>
      <c r="H13" s="25" t="s">
        <v>30</v>
      </c>
      <c r="I13" s="29" t="s">
        <v>39</v>
      </c>
      <c r="J13" s="33">
        <f t="shared" si="1"/>
        <v>3233600</v>
      </c>
      <c r="K13" s="45">
        <v>0.08</v>
      </c>
      <c r="L13" s="36" t="s">
        <v>26</v>
      </c>
      <c r="M13" s="38">
        <v>15000.0</v>
      </c>
      <c r="N13" s="41">
        <f t="shared" si="2"/>
        <v>215.5733333</v>
      </c>
      <c r="O13" s="37">
        <v>46082.0</v>
      </c>
      <c r="P13" s="37">
        <v>46326.0</v>
      </c>
      <c r="Q13" s="4"/>
      <c r="R13" s="4"/>
      <c r="S13" s="4"/>
      <c r="T13" s="4"/>
      <c r="U13" s="4"/>
      <c r="V13" s="4"/>
      <c r="W13" s="4"/>
    </row>
    <row r="14">
      <c r="A14" s="4"/>
      <c r="B14" s="42"/>
      <c r="C14" s="40"/>
      <c r="D14" s="39"/>
      <c r="E14" s="43"/>
      <c r="F14" s="25" t="s">
        <v>40</v>
      </c>
      <c r="G14" s="25" t="s">
        <v>23</v>
      </c>
      <c r="H14" s="25" t="s">
        <v>30</v>
      </c>
      <c r="I14" s="29" t="s">
        <v>41</v>
      </c>
      <c r="J14" s="33">
        <f t="shared" si="1"/>
        <v>3233600</v>
      </c>
      <c r="K14" s="45">
        <v>0.08</v>
      </c>
      <c r="L14" s="36" t="s">
        <v>26</v>
      </c>
      <c r="M14" s="38">
        <v>15000.0</v>
      </c>
      <c r="N14" s="41">
        <f t="shared" si="2"/>
        <v>215.5733333</v>
      </c>
      <c r="O14" s="37">
        <v>46082.0</v>
      </c>
      <c r="P14" s="37">
        <v>46326.0</v>
      </c>
      <c r="Q14" s="4"/>
      <c r="R14" s="4"/>
      <c r="S14" s="4"/>
      <c r="T14" s="4"/>
      <c r="U14" s="4"/>
      <c r="V14" s="4"/>
      <c r="W14" s="4"/>
    </row>
    <row r="15">
      <c r="A15" s="4"/>
      <c r="B15" s="42"/>
      <c r="C15" s="50"/>
      <c r="D15" s="43"/>
      <c r="E15" s="25" t="s">
        <v>42</v>
      </c>
      <c r="F15" s="25" t="s">
        <v>19</v>
      </c>
      <c r="G15" s="25" t="s">
        <v>23</v>
      </c>
      <c r="H15" s="25" t="s">
        <v>30</v>
      </c>
      <c r="I15" s="29" t="s">
        <v>43</v>
      </c>
      <c r="J15" s="33">
        <f t="shared" si="1"/>
        <v>7679800</v>
      </c>
      <c r="K15" s="45">
        <v>0.19</v>
      </c>
      <c r="L15" s="36" t="s">
        <v>26</v>
      </c>
      <c r="M15" s="38">
        <v>50000.0</v>
      </c>
      <c r="N15" s="41">
        <f t="shared" si="2"/>
        <v>153.596</v>
      </c>
      <c r="O15" s="37">
        <v>46082.0</v>
      </c>
      <c r="P15" s="37">
        <v>46326.0</v>
      </c>
      <c r="Q15" s="4"/>
      <c r="R15" s="4"/>
      <c r="S15" s="4"/>
      <c r="T15" s="4"/>
      <c r="U15" s="4"/>
      <c r="V15" s="4"/>
      <c r="W15" s="4"/>
    </row>
    <row r="16">
      <c r="A16" s="4"/>
      <c r="B16" s="51" t="s">
        <v>44</v>
      </c>
      <c r="C16" s="53">
        <f>C11</f>
        <v>40420000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idden="1">
      <c r="A17" s="4"/>
      <c r="B17" s="54" t="s">
        <v>45</v>
      </c>
      <c r="C17" s="56">
        <f>SUM(N11:N15)</f>
        <v>1356.091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"/>
      <c r="B18" s="58"/>
      <c r="C18" s="59"/>
      <c r="D18" s="4"/>
      <c r="E18" s="4"/>
      <c r="F18" s="4"/>
      <c r="G18" s="4"/>
      <c r="H18" s="4"/>
      <c r="I18" s="4"/>
      <c r="J18" s="4"/>
      <c r="K18" s="4"/>
      <c r="L18" s="4"/>
      <c r="M18" s="1"/>
      <c r="N18" s="4"/>
      <c r="O18" s="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1"/>
      <c r="B22" s="62" t="s">
        <v>47</v>
      </c>
      <c r="C22" s="63"/>
      <c r="D22" s="63"/>
      <c r="E22" s="63"/>
      <c r="F22" s="63"/>
      <c r="G22" s="64"/>
      <c r="H22" s="6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1"/>
      <c r="B23" s="65"/>
      <c r="C23" s="66"/>
      <c r="D23" s="66"/>
      <c r="E23" s="66"/>
      <c r="F23" s="66"/>
      <c r="G23" s="64"/>
      <c r="H23" s="6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1"/>
      <c r="B24" s="67" t="s">
        <v>48</v>
      </c>
      <c r="C24" s="67" t="s">
        <v>49</v>
      </c>
      <c r="D24" s="67" t="s">
        <v>50</v>
      </c>
      <c r="E24" s="67" t="s">
        <v>51</v>
      </c>
      <c r="F24" s="67" t="s">
        <v>52</v>
      </c>
      <c r="G24" s="1"/>
      <c r="H24" s="68"/>
      <c r="I24" s="68"/>
      <c r="J24" s="6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69"/>
      <c r="C25" s="70"/>
      <c r="D25" s="71"/>
      <c r="E25" s="72"/>
      <c r="F25" s="73"/>
      <c r="G25" s="1"/>
      <c r="H25" s="74" t="s">
        <v>53</v>
      </c>
      <c r="I25" s="76">
        <v>5.0E7</v>
      </c>
      <c r="J25" s="6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69" t="s">
        <v>54</v>
      </c>
      <c r="C26" s="78">
        <v>1080000.0</v>
      </c>
      <c r="D26" s="71">
        <f t="shared" ref="D26:D32" si="3">C26/C$33</f>
        <v>0.02671944582</v>
      </c>
      <c r="E26" s="72" t="s">
        <v>55</v>
      </c>
      <c r="F26" s="70"/>
      <c r="G26" s="1"/>
      <c r="H26" s="74" t="s">
        <v>56</v>
      </c>
      <c r="I26" s="76">
        <v>1.8666319E7</v>
      </c>
      <c r="J26" s="6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69" t="s">
        <v>57</v>
      </c>
      <c r="C27" s="78">
        <v>3600000.0</v>
      </c>
      <c r="D27" s="71">
        <f t="shared" si="3"/>
        <v>0.0890648194</v>
      </c>
      <c r="E27" s="72" t="s">
        <v>55</v>
      </c>
      <c r="F27" s="70"/>
      <c r="G27" s="79"/>
      <c r="H27" s="80"/>
      <c r="I27" s="81">
        <f>I25-I26</f>
        <v>31333681</v>
      </c>
      <c r="J27" s="6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69" t="s">
        <v>58</v>
      </c>
      <c r="C28" s="78">
        <v>3600000.0</v>
      </c>
      <c r="D28" s="71">
        <f t="shared" si="3"/>
        <v>0.0890648194</v>
      </c>
      <c r="E28" s="82" t="s">
        <v>55</v>
      </c>
      <c r="F28" s="72"/>
      <c r="G28" s="83"/>
      <c r="H28" s="84"/>
      <c r="I28" s="85"/>
      <c r="J28" s="85"/>
      <c r="K28" s="8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87" t="s">
        <v>59</v>
      </c>
      <c r="C29" s="88">
        <v>5040000.0</v>
      </c>
      <c r="D29" s="71">
        <f t="shared" si="3"/>
        <v>0.1246907472</v>
      </c>
      <c r="E29" s="82" t="s">
        <v>55</v>
      </c>
      <c r="F29" s="70"/>
      <c r="G29" s="83"/>
      <c r="H29" s="84"/>
      <c r="I29" s="85"/>
      <c r="J29" s="1"/>
      <c r="K29" s="8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85"/>
      <c r="B30" s="89" t="s">
        <v>60</v>
      </c>
      <c r="C30" s="88">
        <v>3100000.0</v>
      </c>
      <c r="D30" s="71">
        <f t="shared" si="3"/>
        <v>0.07669470559</v>
      </c>
      <c r="E30" s="72" t="s">
        <v>55</v>
      </c>
      <c r="F30" s="7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85"/>
      <c r="B31" s="90" t="s">
        <v>61</v>
      </c>
      <c r="C31" s="91">
        <v>1.2E7</v>
      </c>
      <c r="D31" s="71">
        <f t="shared" si="3"/>
        <v>0.2968827313</v>
      </c>
      <c r="E31" s="72" t="s">
        <v>55</v>
      </c>
      <c r="F31" s="7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85"/>
      <c r="B32" s="90" t="s">
        <v>62</v>
      </c>
      <c r="C32" s="91">
        <v>1.2E7</v>
      </c>
      <c r="D32" s="71">
        <f t="shared" si="3"/>
        <v>0.2968827313</v>
      </c>
      <c r="E32" s="72" t="s">
        <v>55</v>
      </c>
      <c r="F32" s="7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92" t="s">
        <v>63</v>
      </c>
      <c r="C33" s="93">
        <f>SUM(C26:C32)</f>
        <v>40420000</v>
      </c>
      <c r="D33" s="94"/>
      <c r="E33" s="94"/>
      <c r="F33" s="9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"/>
      <c r="C34" s="79">
        <v>3.6E7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1"/>
      <c r="B35" s="1"/>
      <c r="C35" s="95">
        <f>C33-C34</f>
        <v>4420000</v>
      </c>
      <c r="D35" s="7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1"/>
      <c r="B36" s="1"/>
      <c r="C36" s="8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</sheetData>
  <mergeCells count="5">
    <mergeCell ref="A1:E8"/>
    <mergeCell ref="C11:C15"/>
    <mergeCell ref="D11:D15"/>
    <mergeCell ref="E11:E14"/>
    <mergeCell ref="B22:F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18.5"/>
    <col customWidth="1" min="6" max="6" width="35.13"/>
    <col customWidth="1" min="7" max="7" width="10.13"/>
    <col customWidth="1" min="8" max="8" width="17.38"/>
    <col customWidth="1" min="9" max="9" width="32.75"/>
    <col customWidth="1" min="10" max="10" width="11.5"/>
    <col customWidth="1" min="11" max="11" width="6.5"/>
    <col customWidth="1" min="12" max="12" width="8.75"/>
    <col customWidth="1" min="13" max="13" width="8.13"/>
    <col customWidth="1" min="14" max="14" width="12.75"/>
    <col customWidth="1" min="15" max="15" width="9.5"/>
    <col customWidth="1" min="16" max="16" width="12.0"/>
  </cols>
  <sheetData>
    <row r="1">
      <c r="A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F6" s="3" t="s">
        <v>0</v>
      </c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I7" s="3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2"/>
      <c r="B9" s="6" t="s">
        <v>1</v>
      </c>
      <c r="C9" s="8" t="s">
        <v>2</v>
      </c>
      <c r="D9" s="8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0" t="s">
        <v>9</v>
      </c>
      <c r="K9" s="10" t="s">
        <v>10</v>
      </c>
      <c r="L9" s="13" t="s">
        <v>11</v>
      </c>
      <c r="M9" s="13" t="s">
        <v>12</v>
      </c>
      <c r="N9" s="15" t="s">
        <v>13</v>
      </c>
      <c r="O9" s="13" t="s">
        <v>14</v>
      </c>
      <c r="P9" s="13" t="s">
        <v>15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2"/>
      <c r="B10" s="16" t="s">
        <v>16</v>
      </c>
      <c r="C10" s="21">
        <f>' Flow Global 2026'!C31</f>
        <v>12000000</v>
      </c>
      <c r="D10" s="22" t="s">
        <v>17</v>
      </c>
      <c r="E10" s="23" t="s">
        <v>18</v>
      </c>
      <c r="F10" s="23" t="s">
        <v>19</v>
      </c>
      <c r="G10" s="24" t="s">
        <v>20</v>
      </c>
      <c r="H10" s="25" t="s">
        <v>21</v>
      </c>
      <c r="I10" s="26" t="s">
        <v>22</v>
      </c>
      <c r="J10" s="28">
        <v>4500000.0</v>
      </c>
      <c r="K10" s="30">
        <f>J10/C10</f>
        <v>0.375</v>
      </c>
      <c r="L10" s="31" t="s">
        <v>26</v>
      </c>
      <c r="M10" s="32">
        <v>38000.0</v>
      </c>
      <c r="N10" s="35">
        <f>J10/M10</f>
        <v>118.4210526</v>
      </c>
      <c r="O10" s="37">
        <v>46266.0</v>
      </c>
      <c r="P10" s="37">
        <v>46295.0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2"/>
      <c r="B11" s="39"/>
      <c r="C11" s="40"/>
      <c r="D11" s="39"/>
      <c r="E11" s="39"/>
      <c r="F11" s="39"/>
      <c r="G11" s="39"/>
      <c r="H11" s="25" t="s">
        <v>27</v>
      </c>
      <c r="I11" s="26" t="s">
        <v>22</v>
      </c>
      <c r="J11" s="39"/>
      <c r="K11" s="39"/>
      <c r="L11" s="39"/>
      <c r="M11" s="39"/>
      <c r="N11" s="39"/>
      <c r="O11" s="37">
        <v>46266.0</v>
      </c>
      <c r="P11" s="37">
        <v>46295.0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"/>
      <c r="B12" s="39"/>
      <c r="C12" s="40"/>
      <c r="D12" s="39"/>
      <c r="E12" s="39"/>
      <c r="F12" s="43"/>
      <c r="G12" s="43"/>
      <c r="H12" s="25" t="s">
        <v>32</v>
      </c>
      <c r="I12" s="44" t="s">
        <v>33</v>
      </c>
      <c r="J12" s="43"/>
      <c r="K12" s="43"/>
      <c r="L12" s="43"/>
      <c r="M12" s="43"/>
      <c r="N12" s="43"/>
      <c r="O12" s="37">
        <v>46266.0</v>
      </c>
      <c r="P12" s="37">
        <v>46295.0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2"/>
      <c r="B13" s="39"/>
      <c r="C13" s="40"/>
      <c r="D13" s="39"/>
      <c r="E13" s="43"/>
      <c r="F13" s="25" t="s">
        <v>34</v>
      </c>
      <c r="G13" s="25" t="s">
        <v>35</v>
      </c>
      <c r="H13" s="46" t="s">
        <v>36</v>
      </c>
      <c r="I13" s="26" t="s">
        <v>22</v>
      </c>
      <c r="J13" s="47">
        <v>3500000.0</v>
      </c>
      <c r="K13" s="48">
        <f>J13/C10</f>
        <v>0.2916666667</v>
      </c>
      <c r="L13" s="49" t="s">
        <v>26</v>
      </c>
      <c r="M13" s="38">
        <v>15000.0</v>
      </c>
      <c r="N13" s="41">
        <f t="shared" ref="N13:N14" si="1">J13/M13</f>
        <v>233.3333333</v>
      </c>
      <c r="O13" s="37">
        <v>46266.0</v>
      </c>
      <c r="P13" s="37">
        <v>46295.0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2"/>
      <c r="B14" s="43"/>
      <c r="C14" s="50"/>
      <c r="D14" s="43"/>
      <c r="E14" s="46" t="s">
        <v>42</v>
      </c>
      <c r="F14" s="46" t="s">
        <v>19</v>
      </c>
      <c r="G14" s="25" t="s">
        <v>20</v>
      </c>
      <c r="H14" s="46" t="s">
        <v>30</v>
      </c>
      <c r="I14" s="26" t="s">
        <v>43</v>
      </c>
      <c r="J14" s="47">
        <v>4000000.0</v>
      </c>
      <c r="K14" s="48">
        <f>J14/C10</f>
        <v>0.3333333333</v>
      </c>
      <c r="L14" s="49" t="s">
        <v>26</v>
      </c>
      <c r="M14" s="52">
        <v>50000.0</v>
      </c>
      <c r="N14" s="41">
        <f t="shared" si="1"/>
        <v>80</v>
      </c>
      <c r="O14" s="37">
        <v>46266.0</v>
      </c>
      <c r="P14" s="37">
        <v>46295.0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2"/>
      <c r="B15" s="55" t="s">
        <v>44</v>
      </c>
      <c r="C15" s="53">
        <f>C10</f>
        <v>12000000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2"/>
      <c r="B16" s="57" t="s">
        <v>46</v>
      </c>
      <c r="C16" s="56">
        <f>C15+(C15*19%)</f>
        <v>14280000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2"/>
      <c r="B17" s="57" t="s">
        <v>45</v>
      </c>
      <c r="C17" s="56">
        <f>SUM(N10:N14)</f>
        <v>431.754386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2"/>
      <c r="B18" s="60"/>
      <c r="C18" s="6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2"/>
      <c r="B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2"/>
      <c r="B25" s="2"/>
      <c r="C25" s="2"/>
      <c r="D25" s="75"/>
      <c r="E25" s="7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2"/>
      <c r="B26" s="2"/>
      <c r="C26" s="2"/>
      <c r="D26" s="75"/>
      <c r="E26" s="7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2"/>
      <c r="B27" s="2"/>
      <c r="C27" s="2"/>
      <c r="D27" s="7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"/>
      <c r="B28" s="2"/>
      <c r="C28" s="2"/>
      <c r="D28" s="77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"/>
      <c r="B29" s="2"/>
      <c r="C29" s="2"/>
      <c r="D29" s="7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"/>
      <c r="B30" s="2"/>
      <c r="C30" s="2"/>
      <c r="D30" s="7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2"/>
      <c r="B31" s="2"/>
      <c r="C31" s="2"/>
      <c r="D31" s="77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2"/>
      <c r="B32" s="2"/>
      <c r="C32" s="2"/>
      <c r="D32" s="77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  <c r="AB987" s="96"/>
      <c r="AC987" s="96"/>
      <c r="AD987" s="96"/>
      <c r="AE987" s="96"/>
    </row>
    <row r="988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  <c r="AC988" s="96"/>
      <c r="AD988" s="96"/>
      <c r="AE988" s="96"/>
    </row>
    <row r="989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  <c r="AA989" s="96"/>
      <c r="AB989" s="96"/>
      <c r="AC989" s="96"/>
      <c r="AD989" s="96"/>
      <c r="AE989" s="96"/>
    </row>
    <row r="990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  <c r="AC990" s="96"/>
      <c r="AD990" s="96"/>
      <c r="AE990" s="96"/>
    </row>
    <row r="99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  <c r="AA991" s="96"/>
      <c r="AB991" s="96"/>
      <c r="AC991" s="96"/>
      <c r="AD991" s="96"/>
      <c r="AE991" s="96"/>
    </row>
    <row r="992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  <c r="AB992" s="96"/>
      <c r="AC992" s="96"/>
      <c r="AD992" s="96"/>
      <c r="AE992" s="96"/>
    </row>
    <row r="993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  <c r="AA993" s="96"/>
      <c r="AB993" s="96"/>
      <c r="AC993" s="96"/>
      <c r="AD993" s="96"/>
      <c r="AE993" s="96"/>
    </row>
    <row r="994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  <c r="AB994" s="96"/>
      <c r="AC994" s="96"/>
      <c r="AD994" s="96"/>
      <c r="AE994" s="96"/>
    </row>
    <row r="995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  <c r="AA995" s="96"/>
      <c r="AB995" s="96"/>
      <c r="AC995" s="96"/>
      <c r="AD995" s="96"/>
      <c r="AE995" s="96"/>
    </row>
    <row r="996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  <c r="AB996" s="96"/>
      <c r="AC996" s="96"/>
      <c r="AD996" s="96"/>
      <c r="AE996" s="96"/>
    </row>
    <row r="997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  <c r="AA997" s="96"/>
      <c r="AB997" s="96"/>
      <c r="AC997" s="96"/>
      <c r="AD997" s="96"/>
      <c r="AE997" s="96"/>
    </row>
    <row r="998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  <c r="AB998" s="96"/>
      <c r="AC998" s="96"/>
      <c r="AD998" s="96"/>
      <c r="AE998" s="96"/>
    </row>
    <row r="999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  <c r="AA999" s="96"/>
      <c r="AB999" s="96"/>
      <c r="AC999" s="96"/>
      <c r="AD999" s="96"/>
      <c r="AE999" s="96"/>
    </row>
    <row r="1000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  <c r="AA1000" s="96"/>
      <c r="AB1000" s="96"/>
      <c r="AC1000" s="96"/>
      <c r="AD1000" s="96"/>
      <c r="AE1000" s="96"/>
    </row>
  </sheetData>
  <mergeCells count="14">
    <mergeCell ref="F10:F12"/>
    <mergeCell ref="G10:G12"/>
    <mergeCell ref="K10:K12"/>
    <mergeCell ref="L10:L12"/>
    <mergeCell ref="M10:M12"/>
    <mergeCell ref="N10:N12"/>
    <mergeCell ref="A1:E8"/>
    <mergeCell ref="B22:H23"/>
    <mergeCell ref="C10:C14"/>
    <mergeCell ref="D10:D14"/>
    <mergeCell ref="E10:E13"/>
    <mergeCell ref="B10:B14"/>
    <mergeCell ref="J10:J12"/>
    <mergeCell ref="F6:H7"/>
  </mergeCells>
  <drawing r:id="rId1"/>
</worksheet>
</file>